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Projeto-Pessoal\"/>
    </mc:Choice>
  </mc:AlternateContent>
  <xr:revisionPtr revIDLastSave="0" documentId="13_ncr:1_{14975987-984C-4B87-94DF-3A814A598577}" xr6:coauthVersionLast="47" xr6:coauthVersionMax="47" xr10:uidLastSave="{00000000-0000-0000-0000-000000000000}"/>
  <bookViews>
    <workbookView xWindow="-108" yWindow="-108" windowWidth="23256" windowHeight="12576" xr2:uid="{416B9EF6-2F33-4E8A-9DFF-15307C2C9FB7}"/>
  </bookViews>
  <sheets>
    <sheet name="BackLog" sheetId="1" r:id="rId1"/>
    <sheet name="BurnDow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F6" i="2" s="1"/>
  <c r="F5" i="2"/>
  <c r="E22" i="1"/>
  <c r="E20" i="1"/>
  <c r="E17" i="1"/>
  <c r="E15" i="1"/>
  <c r="E12" i="1"/>
  <c r="E9" i="1"/>
  <c r="E3" i="1"/>
  <c r="E5" i="1"/>
  <c r="E6" i="1"/>
  <c r="E7" i="1"/>
  <c r="E8" i="1"/>
  <c r="E10" i="1"/>
  <c r="E11" i="1"/>
  <c r="E13" i="1"/>
  <c r="E14" i="1"/>
  <c r="E16" i="1"/>
  <c r="E18" i="1"/>
  <c r="E19" i="1"/>
  <c r="E21" i="1"/>
  <c r="E23" i="1"/>
  <c r="E4" i="1"/>
  <c r="D7" i="2" l="1"/>
  <c r="F7" i="2" s="1"/>
  <c r="D8" i="2" l="1"/>
  <c r="F8" i="2" s="1"/>
</calcChain>
</file>

<file path=xl/sharedStrings.xml><?xml version="1.0" encoding="utf-8"?>
<sst xmlns="http://schemas.openxmlformats.org/spreadsheetml/2006/main" count="161" uniqueCount="101">
  <si>
    <t>ID</t>
  </si>
  <si>
    <t>Requisito</t>
  </si>
  <si>
    <t>Descrição</t>
  </si>
  <si>
    <t>Classificação</t>
  </si>
  <si>
    <t>Tamanho</t>
  </si>
  <si>
    <t>Tamanho (#)</t>
  </si>
  <si>
    <t>Prioridade</t>
  </si>
  <si>
    <t>Status</t>
  </si>
  <si>
    <t>BackLog</t>
  </si>
  <si>
    <t>Repositório criado, branch principal definida e README inicial configurado.</t>
  </si>
  <si>
    <t>Painel do Trello configurado com listas (Product Backlog / Sprint / Fazendo / Concluído).</t>
  </si>
  <si>
    <t>Documento contendo objetivo, escopo inicial, premissas e restrições.</t>
  </si>
  <si>
    <t>Diagrama Entidade-Relacionamento definido e validado.</t>
  </si>
  <si>
    <t>Script de criação das tabelas conforme modelagem lógica.</t>
  </si>
  <si>
    <t>Instalação do MySQL na VM + criação das tabelas no servidor.</t>
  </si>
  <si>
    <t>Resumo do motivo pelo qual foi esolhido + justificativa da solução.</t>
  </si>
  <si>
    <t>Matriz contendo risco, impacto, probabilidade e plano de ação.</t>
  </si>
  <si>
    <t>Criar o layout das telas e definir como o usuário navega no site, incluindo cores, botões e estrutura visual.</t>
  </si>
  <si>
    <t>Criar uma apresentação clara mostrando o objetivo do projeto, o problema que ele resolve, a solução proposta e como ela funciona.</t>
  </si>
  <si>
    <t>Ler as perguntas com atenção e responder de forma direta e sincera, mostrando sua visão sobre o projeto, o motivo dele existir e o que espera alcançar.</t>
  </si>
  <si>
    <t>Planilha utilizada para organizar e priorizar todas as tarefas e requisitos do projeto. Nela estão registradas as demandas planejadas para a sprint, seus status e nível de prioridade. Servindo como uma ferramenta de acompanhamento e alinhamento.</t>
  </si>
  <si>
    <t>Coluna1</t>
  </si>
  <si>
    <t>Coluna2</t>
  </si>
  <si>
    <t>Coluna3</t>
  </si>
  <si>
    <t>Coluna4</t>
  </si>
  <si>
    <t>Coluna5</t>
  </si>
  <si>
    <t>Coluna6</t>
  </si>
  <si>
    <t>Coluna7</t>
  </si>
  <si>
    <t>Coluna8</t>
  </si>
  <si>
    <t>1.1</t>
  </si>
  <si>
    <t>1.2</t>
  </si>
  <si>
    <t>Concluído</t>
  </si>
  <si>
    <t>Em Andamento</t>
  </si>
  <si>
    <t>Não iniciado</t>
  </si>
  <si>
    <t xml:space="preserve">Criar Planilha Product Backlog </t>
  </si>
  <si>
    <t>Configurar Ferramenta de Gestão do Projeto</t>
  </si>
  <si>
    <t>Definição do Contexto do Negócio</t>
  </si>
  <si>
    <t>Criar Documentação Inicial do Projeto</t>
  </si>
  <si>
    <t>Responder as Perguntas de SocioEmocional</t>
  </si>
  <si>
    <t>Criar e Configurar o Repositório no GitHub</t>
  </si>
  <si>
    <t>Modelagem Lógica do Banco de Dados (MySQL)</t>
  </si>
  <si>
    <t>Criar Script SQL (DDL) do Banco</t>
  </si>
  <si>
    <t>Planilha de Riscos do Projeto</t>
  </si>
  <si>
    <t>Fazer o Protótipo do Site no Figma</t>
  </si>
  <si>
    <t>Integração com a API Web Data Viz</t>
  </si>
  <si>
    <t>Conectar o site desenvolvido à API Web Data Viz para consumir dados externos e exibi-los de forma visual, como gráficos, tabelas e indicadores. Essa tarefa inclui realizar requisições à API, tratar as respostas, e transformar as informações em elementos visuais dinâmicos dentro do site, permitindo que o usuário visualize os dados de um jeito claro, atualizado e interativo.</t>
  </si>
  <si>
    <t>Desenvolvimento do Site em HTML, CSS e JavaScript</t>
  </si>
  <si>
    <t>Criar a interface completa do projeto utilizando HTML para estruturar as páginas, CSS para aplicar o design responsivo e estilizado, e JavaScript para adicionar funcionalidades dinâmicas. Essa etapa envolve montar todo o layout, formulários, navegação, animações e comportamentos interativos do site, garantindo uma experiência fluida e intuitiva para o usuário.</t>
  </si>
  <si>
    <t>Implementar Banco de Dados na VM Linux</t>
  </si>
  <si>
    <t>Fazer os Slides da Apresentação</t>
  </si>
  <si>
    <t>S1</t>
  </si>
  <si>
    <t>Semana</t>
  </si>
  <si>
    <t>S3</t>
  </si>
  <si>
    <t>S2</t>
  </si>
  <si>
    <t>S4</t>
  </si>
  <si>
    <t>Essencial</t>
  </si>
  <si>
    <t>Importante</t>
  </si>
  <si>
    <t>Desejável</t>
  </si>
  <si>
    <t>7.1</t>
  </si>
  <si>
    <t>2.2</t>
  </si>
  <si>
    <t>3.2</t>
  </si>
  <si>
    <t>5.2</t>
  </si>
  <si>
    <t>1.3</t>
  </si>
  <si>
    <t>1.4</t>
  </si>
  <si>
    <t>1.5</t>
  </si>
  <si>
    <t>2.1</t>
  </si>
  <si>
    <t>3.1</t>
  </si>
  <si>
    <t>4.1</t>
  </si>
  <si>
    <t>5.1</t>
  </si>
  <si>
    <t>6.1</t>
  </si>
  <si>
    <t>Planejamento Inicial</t>
  </si>
  <si>
    <t>1.</t>
  </si>
  <si>
    <t>Define o propósito, requisitos e organização do projeto, alinhando visão e escopo.</t>
  </si>
  <si>
    <t>Infraestrutura e Preparação Técnica</t>
  </si>
  <si>
    <t>2.</t>
  </si>
  <si>
    <t>Prepara o ambiente técnico, servidores e ferramentas para o desenvolvimento.</t>
  </si>
  <si>
    <t>Modelagem e Banco de Dados</t>
  </si>
  <si>
    <t>Planeja, modela e cria a estrutura do banco de dados do sistema.</t>
  </si>
  <si>
    <t>3.</t>
  </si>
  <si>
    <t>4.</t>
  </si>
  <si>
    <t>5.</t>
  </si>
  <si>
    <t>6.</t>
  </si>
  <si>
    <t>7.</t>
  </si>
  <si>
    <t>Protótipo e Design</t>
  </si>
  <si>
    <t>Cria o visual e a experiência do usuário através de layouts e protótipos.</t>
  </si>
  <si>
    <t xml:space="preserve"> Desenvolvimento</t>
  </si>
  <si>
    <t>Constrói o sistema na prática, implementando código, telas e funcionalidades.</t>
  </si>
  <si>
    <t>Gestão e Análise</t>
  </si>
  <si>
    <t>Controla riscos, acompanha o progresso e mantém o projeto organizado.</t>
  </si>
  <si>
    <t>Apresentação</t>
  </si>
  <si>
    <t>Prepara os materiais finais para apresentar o projeto de forma clara e profissional.</t>
  </si>
  <si>
    <t>Pontos Fibonnaci</t>
  </si>
  <si>
    <t>Planejado</t>
  </si>
  <si>
    <t>Entregue</t>
  </si>
  <si>
    <t>Pendente</t>
  </si>
  <si>
    <t>Total</t>
  </si>
  <si>
    <t>Semana 1</t>
  </si>
  <si>
    <t>Semana 2</t>
  </si>
  <si>
    <t>Semana 3</t>
  </si>
  <si>
    <t>Semana 4</t>
  </si>
  <si>
    <t>MACRO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</si>
</sst>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6"/>
      <color theme="0"/>
      <name val="Agency FB"/>
      <family val="2"/>
    </font>
    <font>
      <i/>
      <sz val="20"/>
      <color theme="0"/>
      <name val="Agency FB"/>
      <family val="2"/>
    </font>
    <font>
      <i/>
      <sz val="11"/>
      <color rgb="FFA61414"/>
      <name val="Agency FB"/>
      <family val="2"/>
    </font>
    <font>
      <sz val="8"/>
      <name val="Aptos Narrow"/>
      <family val="2"/>
      <scheme val="minor"/>
    </font>
    <font>
      <sz val="14"/>
      <color theme="0"/>
      <name val="Agency FB"/>
      <family val="2"/>
    </font>
    <font>
      <sz val="16"/>
      <color theme="0"/>
      <name val="Agency FB"/>
      <family val="2"/>
    </font>
    <font>
      <sz val="16"/>
      <color theme="1"/>
      <name val="Agency FB"/>
      <family val="2"/>
    </font>
    <font>
      <b/>
      <sz val="14"/>
      <color rgb="FF404040"/>
      <name val="Agency FB"/>
      <family val="2"/>
    </font>
    <font>
      <b/>
      <sz val="14"/>
      <color theme="0"/>
      <name val="Agency FB"/>
      <family val="2"/>
    </font>
  </fonts>
  <fills count="5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A61414"/>
        <bgColor indexed="64"/>
      </patternFill>
    </fill>
  </fills>
  <borders count="3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/>
    </xf>
    <xf numFmtId="0" fontId="0" fillId="0" borderId="0" xfId="0" applyAlignment="1">
      <alignment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1" xfId="0" applyFont="1" applyFill="1" applyBorder="1" applyAlignment="1">
      <alignment horizontal="center" vertical="center" wrapText="1"/>
    </xf>
    <xf numFmtId="0" fontId="0" fillId="4" borderId="0" xfId="0" applyFill="1" applyAlignment="1"/>
    <xf numFmtId="0" fontId="2" fillId="4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5">
    <dxf>
      <font>
        <color theme="0"/>
      </font>
      <fill>
        <patternFill>
          <bgColor theme="2" tint="-0.499984740745262"/>
        </patternFill>
      </fill>
    </dxf>
    <dxf>
      <fill>
        <patternFill>
          <bgColor theme="1" tint="0.14996795556505021"/>
        </patternFill>
      </fill>
    </dxf>
    <dxf>
      <font>
        <color theme="0"/>
      </font>
      <fill>
        <patternFill>
          <bgColor theme="0" tint="-0.34998626667073579"/>
        </patternFill>
      </fill>
    </dxf>
    <dxf>
      <font>
        <color theme="2" tint="-0.749961851863155"/>
      </font>
      <fill>
        <patternFill>
          <bgColor theme="9" tint="0.59996337778862885"/>
        </patternFill>
      </fill>
    </dxf>
    <dxf>
      <font>
        <color theme="1" tint="0.14996795556505021"/>
      </font>
      <fill>
        <patternFill>
          <bgColor rgb="FFFFFF99"/>
        </patternFill>
      </fill>
    </dxf>
    <dxf>
      <font>
        <color theme="2" tint="-0.749961851863155"/>
      </font>
      <fill>
        <patternFill>
          <bgColor rgb="FFFF5050"/>
        </patternFill>
      </fill>
    </dxf>
    <dxf>
      <font>
        <strike val="0"/>
        <outline val="0"/>
        <shadow val="0"/>
        <u val="none"/>
        <vertAlign val="baseline"/>
        <sz val="14"/>
        <color theme="0"/>
        <name val="Agency FB"/>
        <family val="2"/>
        <scheme val="none"/>
      </font>
      <fill>
        <patternFill patternType="solid">
          <fgColor indexed="64"/>
          <bgColor rgb="FF8C8C8C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gency FB"/>
        <family val="2"/>
        <scheme val="none"/>
      </font>
      <fill>
        <patternFill patternType="solid">
          <fgColor indexed="64"/>
          <bgColor rgb="FF40404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0"/>
        <name val="Agency FB"/>
        <family val="2"/>
        <scheme val="none"/>
      </font>
      <fill>
        <patternFill patternType="solid">
          <fgColor indexed="64"/>
          <bgColor rgb="FF8C8C8C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2" tint="-0.749992370372631"/>
        </left>
        <right style="thin">
          <color theme="2" tint="-0.749992370372631"/>
        </right>
        <top style="thin">
          <color theme="2" tint="-0.749992370372631"/>
        </top>
        <bottom style="thin">
          <color theme="2" tint="-0.749992370372631"/>
        </bottom>
      </border>
    </dxf>
    <dxf>
      <font>
        <strike val="0"/>
        <outline val="0"/>
        <shadow val="0"/>
        <u val="none"/>
        <vertAlign val="baseline"/>
        <sz val="14"/>
        <color theme="0"/>
        <name val="Agency FB"/>
        <family val="2"/>
        <scheme val="none"/>
      </font>
      <fill>
        <patternFill patternType="solid">
          <fgColor indexed="64"/>
          <bgColor rgb="FF8C8C8C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2" tint="-0.749992370372631"/>
        </left>
        <right style="thin">
          <color theme="2" tint="-0.749992370372631"/>
        </right>
        <top style="thin">
          <color theme="2" tint="-0.749992370372631"/>
        </top>
        <bottom style="thin">
          <color theme="2" tint="-0.749992370372631"/>
        </bottom>
      </border>
    </dxf>
    <dxf>
      <font>
        <strike val="0"/>
        <outline val="0"/>
        <shadow val="0"/>
        <u val="none"/>
        <vertAlign val="baseline"/>
        <sz val="14"/>
        <color theme="0"/>
        <name val="Agency FB"/>
        <family val="2"/>
        <scheme val="none"/>
      </font>
      <fill>
        <patternFill patternType="solid">
          <fgColor indexed="64"/>
          <bgColor rgb="FF8C8C8C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2" tint="-0.749992370372631"/>
        </left>
        <right style="thin">
          <color theme="2" tint="-0.749992370372631"/>
        </right>
        <top style="thin">
          <color theme="2" tint="-0.749992370372631"/>
        </top>
        <bottom style="thin">
          <color theme="2" tint="-0.749992370372631"/>
        </bottom>
      </border>
    </dxf>
    <dxf>
      <font>
        <strike val="0"/>
        <outline val="0"/>
        <shadow val="0"/>
        <u val="none"/>
        <vertAlign val="baseline"/>
        <sz val="14"/>
        <color theme="0"/>
        <name val="Agency FB"/>
        <family val="2"/>
        <scheme val="none"/>
      </font>
      <fill>
        <patternFill patternType="solid">
          <fgColor indexed="64"/>
          <bgColor rgb="FF8C8C8C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2" tint="-0.749992370372631"/>
        </left>
        <right style="thin">
          <color theme="2" tint="-0.749992370372631"/>
        </right>
        <top style="thin">
          <color theme="2" tint="-0.749992370372631"/>
        </top>
        <bottom style="thin">
          <color theme="2" tint="-0.749992370372631"/>
        </bottom>
      </border>
    </dxf>
    <dxf>
      <font>
        <strike val="0"/>
        <outline val="0"/>
        <shadow val="0"/>
        <u val="none"/>
        <vertAlign val="baseline"/>
        <sz val="14"/>
        <color theme="0"/>
        <name val="Agency FB"/>
        <family val="2"/>
        <scheme val="none"/>
      </font>
      <fill>
        <patternFill patternType="solid">
          <fgColor indexed="64"/>
          <bgColor rgb="FF8C8C8C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2" tint="-0.749992370372631"/>
        </left>
        <right style="thin">
          <color theme="2" tint="-0.749992370372631"/>
        </right>
        <top style="thin">
          <color theme="2" tint="-0.749992370372631"/>
        </top>
        <bottom style="thin">
          <color theme="2" tint="-0.74999237037263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gency FB"/>
        <family val="2"/>
        <scheme val="none"/>
      </font>
      <fill>
        <patternFill patternType="solid">
          <fgColor indexed="64"/>
          <bgColor rgb="FF8C8C8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gency FB"/>
        <family val="2"/>
        <scheme val="none"/>
      </font>
      <fill>
        <patternFill patternType="solid">
          <fgColor indexed="64"/>
          <bgColor rgb="FF404040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gency FB"/>
        <family val="2"/>
        <scheme val="none"/>
      </font>
      <fill>
        <patternFill patternType="solid">
          <fgColor indexed="64"/>
          <bgColor rgb="FF8C8C8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2" tint="-0.749992370372631"/>
        </left>
        <right style="thin">
          <color theme="2" tint="-0.749992370372631"/>
        </right>
        <top style="thin">
          <color theme="2" tint="-0.749992370372631"/>
        </top>
        <bottom style="thin">
          <color theme="2" tint="-0.74999237037263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gency FB"/>
        <family val="2"/>
        <scheme val="none"/>
      </font>
      <fill>
        <patternFill patternType="solid">
          <fgColor indexed="64"/>
          <bgColor rgb="FF8C8C8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2" tint="-0.749992370372631"/>
        </left>
        <right style="thin">
          <color theme="2" tint="-0.749992370372631"/>
        </right>
        <top style="thin">
          <color theme="2" tint="-0.749992370372631"/>
        </top>
        <bottom style="thin">
          <color theme="2" tint="-0.74999237037263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gency FB"/>
        <family val="2"/>
        <scheme val="none"/>
      </font>
      <fill>
        <patternFill patternType="solid">
          <fgColor indexed="64"/>
          <bgColor rgb="FF8C8C8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2" tint="-0.749992370372631"/>
        </left>
        <right style="thin">
          <color theme="2" tint="-0.749992370372631"/>
        </right>
        <top style="thin">
          <color theme="2" tint="-0.749992370372631"/>
        </top>
        <bottom style="thin">
          <color theme="2" tint="-0.74999237037263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gency FB"/>
        <family val="2"/>
        <scheme val="none"/>
      </font>
      <fill>
        <patternFill patternType="solid">
          <fgColor indexed="64"/>
          <bgColor rgb="FF8C8C8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2" tint="-0.749992370372631"/>
        </left>
        <right style="thin">
          <color theme="2" tint="-0.749992370372631"/>
        </right>
        <top style="thin">
          <color theme="2" tint="-0.749992370372631"/>
        </top>
        <bottom style="thin">
          <color theme="2" tint="-0.74999237037263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gency FB"/>
        <family val="2"/>
        <scheme val="none"/>
      </font>
      <fill>
        <patternFill patternType="solid">
          <fgColor indexed="64"/>
          <bgColor rgb="FF8C8C8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2" tint="-0.749992370372631"/>
        </left>
        <right style="thin">
          <color theme="2" tint="-0.749992370372631"/>
        </right>
        <top style="thin">
          <color theme="2" tint="-0.749992370372631"/>
        </top>
        <bottom style="thin">
          <color theme="2" tint="-0.74999237037263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gency FB"/>
        <family val="2"/>
        <scheme val="none"/>
      </font>
      <fill>
        <patternFill patternType="solid">
          <fgColor indexed="64"/>
          <bgColor rgb="FF8C8C8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2" tint="-0.749992370372631"/>
        </left>
        <right style="thin">
          <color theme="2" tint="-0.749992370372631"/>
        </right>
        <top style="thin">
          <color theme="2" tint="-0.749992370372631"/>
        </top>
        <bottom style="thin">
          <color theme="2" tint="-0.74999237037263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gency FB"/>
        <family val="2"/>
        <scheme val="none"/>
      </font>
      <fill>
        <patternFill patternType="solid">
          <fgColor indexed="64"/>
          <bgColor rgb="FF8C8C8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2" tint="-0.749992370372631"/>
        </left>
        <right style="thin">
          <color theme="2" tint="-0.749992370372631"/>
        </right>
        <top style="thin">
          <color theme="2" tint="-0.749992370372631"/>
        </top>
        <bottom style="thin">
          <color theme="2" tint="-0.74999237037263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gency FB"/>
        <family val="2"/>
        <scheme val="none"/>
      </font>
      <fill>
        <patternFill patternType="solid">
          <fgColor indexed="64"/>
          <bgColor rgb="FF8C8C8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2" tint="-0.749992370372631"/>
        </left>
        <right style="thin">
          <color theme="2" tint="-0.749992370372631"/>
        </right>
        <top style="thin">
          <color theme="2" tint="-0.749992370372631"/>
        </top>
        <bottom style="thin">
          <color theme="2" tint="-0.74999237037263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gency FB"/>
        <family val="2"/>
        <scheme val="none"/>
      </font>
      <fill>
        <patternFill patternType="solid">
          <fgColor indexed="64"/>
          <bgColor rgb="FF8C8C8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2" tint="-0.749992370372631"/>
        </left>
        <right style="thin">
          <color theme="2" tint="-0.749992370372631"/>
        </right>
        <top style="thin">
          <color theme="2" tint="-0.749992370372631"/>
        </top>
        <bottom style="thin">
          <color theme="2" tint="-0.749992370372631"/>
        </bottom>
      </border>
    </dxf>
    <dxf>
      <border outline="0">
        <bottom style="thin">
          <color theme="2" tint="-0.749992370372631"/>
        </bottom>
      </border>
    </dxf>
  </dxfs>
  <tableStyles count="0" defaultTableStyle="TableStyleMedium2" defaultPivotStyle="PivotStyleLight16"/>
  <colors>
    <mruColors>
      <color rgb="FFFF5050"/>
      <color rgb="FFA61414"/>
      <color rgb="FFFFFFFF"/>
      <color rgb="FF404040"/>
      <color rgb="FF8C8C8C"/>
      <color rgb="FFFFFF99"/>
      <color rgb="FF5902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BurnDown - Macro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BurnDown!$D$3</c:f>
              <c:strCache>
                <c:ptCount val="1"/>
                <c:pt idx="0">
                  <c:v>Planejado</c:v>
                </c:pt>
              </c:strCache>
            </c:strRef>
          </c:tx>
          <c:spPr>
            <a:ln w="28575" cap="rnd">
              <a:solidFill>
                <a:srgbClr val="FF5050"/>
              </a:solidFill>
              <a:round/>
            </a:ln>
            <a:effectLst/>
          </c:spPr>
          <c:marker>
            <c:symbol val="none"/>
          </c:marker>
          <c:cat>
            <c:strRef>
              <c:f>BurnDown!$B$4:$B$8</c:f>
              <c:strCache>
                <c:ptCount val="5"/>
                <c:pt idx="0">
                  <c:v>Total</c:v>
                </c:pt>
                <c:pt idx="1">
                  <c:v>Semana 1</c:v>
                </c:pt>
                <c:pt idx="2">
                  <c:v>Semana 2</c:v>
                </c:pt>
                <c:pt idx="3">
                  <c:v>Semana 3</c:v>
                </c:pt>
                <c:pt idx="4">
                  <c:v>Semana 4</c:v>
                </c:pt>
              </c:strCache>
            </c:strRef>
          </c:cat>
          <c:val>
            <c:numRef>
              <c:f>BurnDown!$D$4:$D$8</c:f>
              <c:numCache>
                <c:formatCode>General</c:formatCode>
                <c:ptCount val="5"/>
                <c:pt idx="0">
                  <c:v>130</c:v>
                </c:pt>
                <c:pt idx="1">
                  <c:v>35</c:v>
                </c:pt>
                <c:pt idx="2">
                  <c:v>45</c:v>
                </c:pt>
                <c:pt idx="3">
                  <c:v>53</c:v>
                </c:pt>
                <c:pt idx="4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7A-4AE5-BB7D-6029ABC667C1}"/>
            </c:ext>
          </c:extLst>
        </c:ser>
        <c:ser>
          <c:idx val="1"/>
          <c:order val="1"/>
          <c:tx>
            <c:strRef>
              <c:f>BurnDown!$E$3</c:f>
              <c:strCache>
                <c:ptCount val="1"/>
                <c:pt idx="0">
                  <c:v>Entregue</c:v>
                </c:pt>
              </c:strCache>
            </c:strRef>
          </c:tx>
          <c:spPr>
            <a:ln w="28575" cap="rnd">
              <a:solidFill>
                <a:srgbClr val="A61414"/>
              </a:solidFill>
              <a:round/>
            </a:ln>
            <a:effectLst/>
          </c:spPr>
          <c:marker>
            <c:symbol val="none"/>
          </c:marker>
          <c:cat>
            <c:strRef>
              <c:f>BurnDown!$B$4:$B$8</c:f>
              <c:strCache>
                <c:ptCount val="5"/>
                <c:pt idx="0">
                  <c:v>Total</c:v>
                </c:pt>
                <c:pt idx="1">
                  <c:v>Semana 1</c:v>
                </c:pt>
                <c:pt idx="2">
                  <c:v>Semana 2</c:v>
                </c:pt>
                <c:pt idx="3">
                  <c:v>Semana 3</c:v>
                </c:pt>
                <c:pt idx="4">
                  <c:v>Semana 4</c:v>
                </c:pt>
              </c:strCache>
            </c:strRef>
          </c:cat>
          <c:val>
            <c:numRef>
              <c:f>BurnDown!$E$4:$E$8</c:f>
              <c:numCache>
                <c:formatCode>General</c:formatCode>
                <c:ptCount val="5"/>
                <c:pt idx="0">
                  <c:v>130</c:v>
                </c:pt>
                <c:pt idx="1">
                  <c:v>27</c:v>
                </c:pt>
                <c:pt idx="2">
                  <c:v>31</c:v>
                </c:pt>
                <c:pt idx="3">
                  <c:v>44</c:v>
                </c:pt>
                <c:pt idx="4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7A-4AE5-BB7D-6029ABC66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4119935"/>
        <c:axId val="1284119455"/>
      </c:lineChart>
      <c:catAx>
        <c:axId val="128411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4119455"/>
        <c:crosses val="autoZero"/>
        <c:auto val="1"/>
        <c:lblAlgn val="ctr"/>
        <c:lblOffset val="100"/>
        <c:noMultiLvlLbl val="0"/>
      </c:catAx>
      <c:valAx>
        <c:axId val="128411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411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447474</xdr:colOff>
      <xdr:row>0</xdr:row>
      <xdr:rowOff>285056</xdr:rowOff>
    </xdr:from>
    <xdr:to>
      <xdr:col>8</xdr:col>
      <xdr:colOff>118424</xdr:colOff>
      <xdr:row>0</xdr:row>
      <xdr:rowOff>710793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894D3EB-A037-871E-3D69-F73E9F262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9815" y="285056"/>
          <a:ext cx="450268" cy="4257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426720</xdr:colOff>
      <xdr:row>1</xdr:row>
      <xdr:rowOff>60961</xdr:rowOff>
    </xdr:from>
    <xdr:to>
      <xdr:col>5</xdr:col>
      <xdr:colOff>777240</xdr:colOff>
      <xdr:row>1</xdr:row>
      <xdr:rowOff>392384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B2A628-E766-4FD0-922D-33BCE0965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9620" y="243841"/>
          <a:ext cx="350520" cy="331423"/>
        </a:xfrm>
        <a:prstGeom prst="rect">
          <a:avLst/>
        </a:prstGeom>
      </xdr:spPr>
    </xdr:pic>
    <xdr:clientData/>
  </xdr:twoCellAnchor>
  <xdr:twoCellAnchor>
    <xdr:from>
      <xdr:col>7</xdr:col>
      <xdr:colOff>7620</xdr:colOff>
      <xdr:row>0</xdr:row>
      <xdr:rowOff>179070</xdr:rowOff>
    </xdr:from>
    <xdr:to>
      <xdr:col>14</xdr:col>
      <xdr:colOff>312420</xdr:colOff>
      <xdr:row>13</xdr:row>
      <xdr:rowOff>163830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4929B22-46C2-0FCE-3F87-2464C3926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79E2D0-D9A3-4DEE-97E9-0FDCEC60EFA1}" name="Tabela1" displayName="Tabela1" ref="A2:I23" totalsRowShown="0" headerRowDxfId="14" dataDxfId="13" tableBorderDxfId="24">
  <autoFilter ref="A2:I23" xr:uid="{D679E2D0-D9A3-4DEE-97E9-0FDCEC60EFA1}"/>
  <tableColumns count="9">
    <tableColumn id="1" xr3:uid="{F01E6D42-80E3-4A79-BE66-3C48CB391348}" name="ID" dataDxfId="23"/>
    <tableColumn id="2" xr3:uid="{9F6E5C33-1694-4A4E-B5F0-9E8767C56D38}" name="Requisito" dataDxfId="22"/>
    <tableColumn id="3" xr3:uid="{202877B7-2A60-4665-9491-9F98D6102C87}" name="Descrição" dataDxfId="21"/>
    <tableColumn id="4" xr3:uid="{DF13469B-5F9F-4AE9-B4EE-0F8967E8A50C}" name="Classificação" dataDxfId="20"/>
    <tableColumn id="5" xr3:uid="{B9DD197A-4DD7-4F88-9B43-E6DB2AE60CCE}" name="Tamanho" dataDxfId="19">
      <calculatedColumnFormula>IF(F3&lt;=3,"P",IF(F3&lt;=8,"M",IF(F3&lt;=13,"G",IF(F3&lt;=21,"GG"))))</calculatedColumnFormula>
    </tableColumn>
    <tableColumn id="6" xr3:uid="{E0F4AE7C-955A-4762-A442-7441F1CA117F}" name="Tamanho (#)" dataDxfId="18"/>
    <tableColumn id="7" xr3:uid="{2F990E0D-2BC0-404B-8591-7B8AA1913A9B}" name="Prioridade" dataDxfId="17"/>
    <tableColumn id="8" xr3:uid="{CDCCA848-726A-4388-9E99-68F36535F79B}" name="Semana" dataDxfId="16"/>
    <tableColumn id="9" xr3:uid="{F6BF4792-98B2-4DFE-B993-8D5753DBA45A}" name="Status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69EC1E-7A42-4E7A-B597-D6B4539403C9}" name="Tabela2" displayName="Tabela2" ref="B3:F8" totalsRowShown="0" headerRowDxfId="7" dataDxfId="6">
  <autoFilter ref="B3:F8" xr:uid="{3B69EC1E-7A42-4E7A-B597-D6B4539403C9}"/>
  <tableColumns count="5">
    <tableColumn id="1" xr3:uid="{37A9BC76-5D28-4F8C-98EF-A62FF6F92FC0}" name="Coluna1" dataDxfId="12"/>
    <tableColumn id="2" xr3:uid="{52F8EB1D-6355-451F-91D9-4F3F06767C15}" name="Pontos Fibonnaci" dataDxfId="11"/>
    <tableColumn id="3" xr3:uid="{EE7AAF94-31B6-4C5E-ADCD-2505DC40A636}" name="Planejado" dataDxfId="10"/>
    <tableColumn id="4" xr3:uid="{5C3B9ADC-F272-4300-809C-F093517A72DD}" name="Entregue" dataDxfId="9"/>
    <tableColumn id="5" xr3:uid="{CCD5E0CC-06A6-4A02-A706-5E50ADF19121}" name="Pendente" dataDxf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AB65-E68C-472D-951B-B74DD0EB7103}">
  <dimension ref="A1:N23"/>
  <sheetViews>
    <sheetView tabSelected="1" zoomScale="88" zoomScaleNormal="98" workbookViewId="0">
      <selection activeCell="M5" sqref="M5"/>
    </sheetView>
  </sheetViews>
  <sheetFormatPr defaultRowHeight="14.4" x14ac:dyDescent="0.3"/>
  <cols>
    <col min="1" max="1" width="11.77734375" bestFit="1" customWidth="1"/>
    <col min="2" max="2" width="42.21875" bestFit="1" customWidth="1"/>
    <col min="3" max="3" width="65.21875" bestFit="1" customWidth="1"/>
    <col min="4" max="4" width="16.44140625" bestFit="1" customWidth="1"/>
    <col min="5" max="5" width="12.21875" bestFit="1" customWidth="1"/>
    <col min="6" max="6" width="16.5546875" bestFit="1" customWidth="1"/>
    <col min="7" max="7" width="13.77734375" bestFit="1" customWidth="1"/>
    <col min="8" max="8" width="11.33203125" bestFit="1" customWidth="1"/>
    <col min="9" max="9" width="10.21875" bestFit="1" customWidth="1"/>
    <col min="14" max="14" width="9.77734375" bestFit="1" customWidth="1"/>
  </cols>
  <sheetData>
    <row r="1" spans="1:14" ht="75.599999999999994" customHeight="1" x14ac:dyDescent="0.3">
      <c r="A1" s="2" t="s">
        <v>8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N1" s="7" t="s">
        <v>55</v>
      </c>
    </row>
    <row r="2" spans="1:14" ht="20.399999999999999" x14ac:dyDescent="0.3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51</v>
      </c>
      <c r="I2" s="12" t="s">
        <v>7</v>
      </c>
      <c r="N2" s="7" t="s">
        <v>56</v>
      </c>
    </row>
    <row r="3" spans="1:14" ht="40.799999999999997" x14ac:dyDescent="0.3">
      <c r="A3" s="6" t="s">
        <v>71</v>
      </c>
      <c r="B3" s="6" t="s">
        <v>70</v>
      </c>
      <c r="C3" s="6" t="s">
        <v>72</v>
      </c>
      <c r="D3" s="5" t="s">
        <v>55</v>
      </c>
      <c r="E3" s="6" t="str">
        <f>IF(F3&lt;=3,"P",IF(F3&lt;=8,"M",IF(F3&lt;=13,"G",IF(F3&lt;=21,"GG"))))</f>
        <v>M</v>
      </c>
      <c r="F3" s="6">
        <v>5</v>
      </c>
      <c r="G3" s="6">
        <v>1</v>
      </c>
      <c r="H3" s="6" t="s">
        <v>50</v>
      </c>
      <c r="I3" s="8" t="s">
        <v>31</v>
      </c>
      <c r="K3" s="1" t="s">
        <v>31</v>
      </c>
      <c r="N3" s="7" t="s">
        <v>57</v>
      </c>
    </row>
    <row r="4" spans="1:14" ht="40.799999999999997" x14ac:dyDescent="0.3">
      <c r="A4" s="5" t="s">
        <v>29</v>
      </c>
      <c r="B4" s="5" t="s">
        <v>35</v>
      </c>
      <c r="C4" s="5" t="s">
        <v>10</v>
      </c>
      <c r="D4" s="5" t="s">
        <v>56</v>
      </c>
      <c r="E4" s="5" t="str">
        <f>IF(F4&lt;=3,"P",IF(F4&lt;=8,"M",IF(F4&lt;=13,"G",IF(F4&lt;=21,"GG"))))</f>
        <v>P</v>
      </c>
      <c r="F4" s="5">
        <v>2</v>
      </c>
      <c r="G4" s="5">
        <v>2</v>
      </c>
      <c r="H4" s="5" t="s">
        <v>50</v>
      </c>
      <c r="I4" s="8" t="s">
        <v>31</v>
      </c>
      <c r="K4" s="1" t="s">
        <v>32</v>
      </c>
      <c r="M4" s="4"/>
    </row>
    <row r="5" spans="1:14" ht="81.599999999999994" x14ac:dyDescent="0.3">
      <c r="A5" s="5" t="s">
        <v>30</v>
      </c>
      <c r="B5" s="5" t="s">
        <v>34</v>
      </c>
      <c r="C5" s="5" t="s">
        <v>20</v>
      </c>
      <c r="D5" s="5" t="s">
        <v>56</v>
      </c>
      <c r="E5" s="5" t="str">
        <f t="shared" ref="E5:E23" si="0">IF(F5&lt;=3,"P",IF(F5&lt;=8,"M",IF(F5&lt;=13,"G",IF(F5&lt;=21,"GG"))))</f>
        <v>P</v>
      </c>
      <c r="F5" s="5">
        <v>1</v>
      </c>
      <c r="G5" s="5">
        <v>1</v>
      </c>
      <c r="H5" s="5" t="s">
        <v>50</v>
      </c>
      <c r="I5" s="8" t="s">
        <v>31</v>
      </c>
      <c r="K5" s="1" t="s">
        <v>33</v>
      </c>
    </row>
    <row r="6" spans="1:14" ht="20.399999999999999" x14ac:dyDescent="0.3">
      <c r="A6" s="5" t="s">
        <v>62</v>
      </c>
      <c r="B6" s="5" t="s">
        <v>36</v>
      </c>
      <c r="C6" s="5" t="s">
        <v>15</v>
      </c>
      <c r="D6" s="5" t="s">
        <v>55</v>
      </c>
      <c r="E6" s="5" t="str">
        <f t="shared" si="0"/>
        <v>M</v>
      </c>
      <c r="F6" s="5">
        <v>8</v>
      </c>
      <c r="G6" s="5">
        <v>1</v>
      </c>
      <c r="H6" s="5" t="s">
        <v>50</v>
      </c>
      <c r="I6" s="8" t="s">
        <v>31</v>
      </c>
    </row>
    <row r="7" spans="1:14" ht="40.799999999999997" x14ac:dyDescent="0.3">
      <c r="A7" s="5" t="s">
        <v>63</v>
      </c>
      <c r="B7" s="5" t="s">
        <v>37</v>
      </c>
      <c r="C7" s="5" t="s">
        <v>11</v>
      </c>
      <c r="D7" s="5" t="s">
        <v>55</v>
      </c>
      <c r="E7" s="5" t="str">
        <f t="shared" si="0"/>
        <v>M</v>
      </c>
      <c r="F7" s="5">
        <v>8</v>
      </c>
      <c r="G7" s="5">
        <v>1</v>
      </c>
      <c r="H7" s="5" t="s">
        <v>50</v>
      </c>
      <c r="I7" s="8" t="s">
        <v>31</v>
      </c>
    </row>
    <row r="8" spans="1:14" ht="61.2" x14ac:dyDescent="0.3">
      <c r="A8" s="5" t="s">
        <v>64</v>
      </c>
      <c r="B8" s="5" t="s">
        <v>38</v>
      </c>
      <c r="C8" s="5" t="s">
        <v>19</v>
      </c>
      <c r="D8" s="5" t="s">
        <v>55</v>
      </c>
      <c r="E8" s="5" t="str">
        <f t="shared" si="0"/>
        <v>M</v>
      </c>
      <c r="F8" s="5">
        <v>8</v>
      </c>
      <c r="G8" s="5">
        <v>1</v>
      </c>
      <c r="H8" s="5" t="s">
        <v>50</v>
      </c>
      <c r="I8" s="8" t="s">
        <v>31</v>
      </c>
    </row>
    <row r="9" spans="1:14" ht="40.799999999999997" x14ac:dyDescent="0.3">
      <c r="A9" s="6" t="s">
        <v>74</v>
      </c>
      <c r="B9" s="6" t="s">
        <v>73</v>
      </c>
      <c r="C9" s="6" t="s">
        <v>75</v>
      </c>
      <c r="D9" s="5" t="s">
        <v>55</v>
      </c>
      <c r="E9" s="6" t="str">
        <f>IF(F9&lt;=3,"P",IF(F9&lt;=8,"M",IF(F9&lt;=13,"G",IF(F9&lt;=21,"GG"))))</f>
        <v>P</v>
      </c>
      <c r="F9" s="6">
        <v>3</v>
      </c>
      <c r="G9" s="6">
        <v>1</v>
      </c>
      <c r="H9" s="6" t="s">
        <v>53</v>
      </c>
      <c r="I9" s="8" t="s">
        <v>31</v>
      </c>
    </row>
    <row r="10" spans="1:14" ht="40.799999999999997" x14ac:dyDescent="0.3">
      <c r="A10" s="5" t="s">
        <v>65</v>
      </c>
      <c r="B10" s="5" t="s">
        <v>39</v>
      </c>
      <c r="C10" s="5" t="s">
        <v>9</v>
      </c>
      <c r="D10" s="5" t="s">
        <v>55</v>
      </c>
      <c r="E10" s="5" t="str">
        <f t="shared" si="0"/>
        <v>P</v>
      </c>
      <c r="F10" s="5">
        <v>3</v>
      </c>
      <c r="G10" s="5">
        <v>1</v>
      </c>
      <c r="H10" s="5" t="s">
        <v>50</v>
      </c>
      <c r="I10" s="8" t="s">
        <v>31</v>
      </c>
    </row>
    <row r="11" spans="1:14" ht="40.799999999999997" x14ac:dyDescent="0.3">
      <c r="A11" s="5" t="s">
        <v>59</v>
      </c>
      <c r="B11" s="5" t="s">
        <v>40</v>
      </c>
      <c r="C11" s="5" t="s">
        <v>12</v>
      </c>
      <c r="D11" s="5" t="s">
        <v>55</v>
      </c>
      <c r="E11" s="5" t="str">
        <f t="shared" si="0"/>
        <v>M</v>
      </c>
      <c r="F11" s="5">
        <v>8</v>
      </c>
      <c r="G11" s="5">
        <v>1</v>
      </c>
      <c r="H11" s="5" t="s">
        <v>53</v>
      </c>
      <c r="I11" s="8" t="s">
        <v>31</v>
      </c>
    </row>
    <row r="12" spans="1:14" ht="20.399999999999999" x14ac:dyDescent="0.3">
      <c r="A12" s="6" t="s">
        <v>78</v>
      </c>
      <c r="B12" s="6" t="s">
        <v>76</v>
      </c>
      <c r="C12" s="6" t="s">
        <v>77</v>
      </c>
      <c r="D12" s="5" t="s">
        <v>55</v>
      </c>
      <c r="E12" s="6" t="str">
        <f>IF(F12&lt;=3,"P",IF(F12&lt;=8,"M",IF(F12&lt;=13,"G",IF(F12&lt;=21,"GG"))))</f>
        <v>M</v>
      </c>
      <c r="F12" s="6">
        <v>8</v>
      </c>
      <c r="G12" s="6">
        <v>1</v>
      </c>
      <c r="H12" s="6" t="s">
        <v>53</v>
      </c>
      <c r="I12" s="8" t="s">
        <v>31</v>
      </c>
    </row>
    <row r="13" spans="1:14" ht="20.399999999999999" x14ac:dyDescent="0.3">
      <c r="A13" s="5" t="s">
        <v>66</v>
      </c>
      <c r="B13" s="5" t="s">
        <v>41</v>
      </c>
      <c r="C13" s="5" t="s">
        <v>13</v>
      </c>
      <c r="D13" s="5" t="s">
        <v>55</v>
      </c>
      <c r="E13" s="5" t="str">
        <f t="shared" si="0"/>
        <v>M</v>
      </c>
      <c r="F13" s="5">
        <v>5</v>
      </c>
      <c r="G13" s="5">
        <v>2</v>
      </c>
      <c r="H13" s="5" t="s">
        <v>53</v>
      </c>
      <c r="I13" s="8" t="s">
        <v>31</v>
      </c>
    </row>
    <row r="14" spans="1:14" ht="20.399999999999999" x14ac:dyDescent="0.3">
      <c r="A14" s="5" t="s">
        <v>60</v>
      </c>
      <c r="B14" s="5" t="s">
        <v>42</v>
      </c>
      <c r="C14" s="5" t="s">
        <v>16</v>
      </c>
      <c r="D14" s="5" t="s">
        <v>56</v>
      </c>
      <c r="E14" s="5" t="str">
        <f t="shared" si="0"/>
        <v>M</v>
      </c>
      <c r="F14" s="5">
        <v>5</v>
      </c>
      <c r="G14" s="5">
        <v>2</v>
      </c>
      <c r="H14" s="5" t="s">
        <v>53</v>
      </c>
      <c r="I14" s="8" t="s">
        <v>31</v>
      </c>
    </row>
    <row r="15" spans="1:14" ht="40.799999999999997" x14ac:dyDescent="0.3">
      <c r="A15" s="6" t="s">
        <v>79</v>
      </c>
      <c r="B15" s="5" t="s">
        <v>83</v>
      </c>
      <c r="C15" s="6" t="s">
        <v>84</v>
      </c>
      <c r="D15" s="5" t="s">
        <v>55</v>
      </c>
      <c r="E15" s="6" t="str">
        <f>IF(F15&lt;=3,"P",IF(F15&lt;=8,"M",IF(F15&lt;=13,"G",IF(F15&lt;=21,"GG"))))</f>
        <v>M</v>
      </c>
      <c r="F15" s="6">
        <v>5</v>
      </c>
      <c r="G15" s="6">
        <v>2</v>
      </c>
      <c r="H15" s="6" t="s">
        <v>52</v>
      </c>
      <c r="I15" s="8" t="s">
        <v>31</v>
      </c>
    </row>
    <row r="16" spans="1:14" ht="40.799999999999997" x14ac:dyDescent="0.3">
      <c r="A16" s="5" t="s">
        <v>67</v>
      </c>
      <c r="B16" s="11" t="s">
        <v>43</v>
      </c>
      <c r="C16" s="5" t="s">
        <v>17</v>
      </c>
      <c r="D16" s="5" t="s">
        <v>57</v>
      </c>
      <c r="E16" s="5" t="str">
        <f t="shared" si="0"/>
        <v>M</v>
      </c>
      <c r="F16" s="5">
        <v>8</v>
      </c>
      <c r="G16" s="5">
        <v>3</v>
      </c>
      <c r="H16" s="5" t="s">
        <v>53</v>
      </c>
      <c r="I16" s="8" t="s">
        <v>31</v>
      </c>
    </row>
    <row r="17" spans="1:9" ht="40.799999999999997" x14ac:dyDescent="0.3">
      <c r="A17" s="6" t="s">
        <v>80</v>
      </c>
      <c r="B17" s="6" t="s">
        <v>85</v>
      </c>
      <c r="C17" s="6" t="s">
        <v>86</v>
      </c>
      <c r="D17" s="5" t="s">
        <v>55</v>
      </c>
      <c r="E17" s="6" t="str">
        <f>IF(F17&lt;=3,"P",IF(F17&lt;=8,"M",IF(F17&lt;=13,"G",IF(F17&lt;=21,"GG"))))</f>
        <v>M</v>
      </c>
      <c r="F17" s="6">
        <v>8</v>
      </c>
      <c r="G17" s="6">
        <v>1</v>
      </c>
      <c r="H17" s="6" t="s">
        <v>52</v>
      </c>
      <c r="I17" s="8" t="s">
        <v>31</v>
      </c>
    </row>
    <row r="18" spans="1:9" ht="122.4" x14ac:dyDescent="0.3">
      <c r="A18" s="5" t="s">
        <v>68</v>
      </c>
      <c r="B18" s="5" t="s">
        <v>44</v>
      </c>
      <c r="C18" s="5" t="s">
        <v>45</v>
      </c>
      <c r="D18" s="5" t="s">
        <v>55</v>
      </c>
      <c r="E18" s="5" t="str">
        <f t="shared" si="0"/>
        <v>G</v>
      </c>
      <c r="F18" s="5">
        <v>13</v>
      </c>
      <c r="G18" s="5">
        <v>1</v>
      </c>
      <c r="H18" s="5" t="s">
        <v>52</v>
      </c>
      <c r="I18" s="8" t="s">
        <v>31</v>
      </c>
    </row>
    <row r="19" spans="1:9" ht="122.4" x14ac:dyDescent="0.3">
      <c r="A19" s="5" t="s">
        <v>61</v>
      </c>
      <c r="B19" s="5" t="s">
        <v>46</v>
      </c>
      <c r="C19" s="5" t="s">
        <v>47</v>
      </c>
      <c r="D19" s="5" t="s">
        <v>55</v>
      </c>
      <c r="E19" s="5" t="str">
        <f t="shared" si="0"/>
        <v>G</v>
      </c>
      <c r="F19" s="5">
        <v>13</v>
      </c>
      <c r="G19" s="5">
        <v>1</v>
      </c>
      <c r="H19" s="5" t="s">
        <v>52</v>
      </c>
      <c r="I19" s="8" t="s">
        <v>31</v>
      </c>
    </row>
    <row r="20" spans="1:9" ht="40.799999999999997" x14ac:dyDescent="0.3">
      <c r="A20" s="6" t="s">
        <v>81</v>
      </c>
      <c r="B20" s="5" t="s">
        <v>87</v>
      </c>
      <c r="C20" s="6" t="s">
        <v>88</v>
      </c>
      <c r="D20" s="5" t="s">
        <v>55</v>
      </c>
      <c r="E20" s="6" t="str">
        <f>IF(F20&lt;=3,"P",IF(F20&lt;=8,"M",IF(F20&lt;=13,"G",IF(F20&lt;=21,"GG"))))</f>
        <v>M</v>
      </c>
      <c r="F20" s="6">
        <v>5</v>
      </c>
      <c r="G20" s="6">
        <v>1</v>
      </c>
      <c r="H20" s="6" t="s">
        <v>54</v>
      </c>
      <c r="I20" s="8" t="s">
        <v>31</v>
      </c>
    </row>
    <row r="21" spans="1:9" ht="20.399999999999999" x14ac:dyDescent="0.3">
      <c r="A21" s="5" t="s">
        <v>69</v>
      </c>
      <c r="B21" s="5" t="s">
        <v>48</v>
      </c>
      <c r="C21" s="5" t="s">
        <v>14</v>
      </c>
      <c r="D21" s="5" t="s">
        <v>55</v>
      </c>
      <c r="E21" s="5" t="str">
        <f t="shared" si="0"/>
        <v>P</v>
      </c>
      <c r="F21" s="5">
        <v>3</v>
      </c>
      <c r="G21" s="5">
        <v>1</v>
      </c>
      <c r="H21" s="5" t="s">
        <v>54</v>
      </c>
      <c r="I21" s="8" t="s">
        <v>31</v>
      </c>
    </row>
    <row r="22" spans="1:9" ht="40.799999999999997" x14ac:dyDescent="0.3">
      <c r="A22" s="6" t="s">
        <v>82</v>
      </c>
      <c r="B22" s="6" t="s">
        <v>89</v>
      </c>
      <c r="C22" s="6" t="s">
        <v>90</v>
      </c>
      <c r="D22" s="5" t="s">
        <v>55</v>
      </c>
      <c r="E22" s="6" t="str">
        <f>IF(F22&lt;=3,"P",IF(F22&lt;=8,"M",IF(F22&lt;=13,"G",IF(F22&lt;=21,"GG"))))</f>
        <v>M</v>
      </c>
      <c r="F22" s="6">
        <v>8</v>
      </c>
      <c r="G22" s="6"/>
      <c r="H22" s="6" t="s">
        <v>54</v>
      </c>
      <c r="I22" s="8" t="s">
        <v>31</v>
      </c>
    </row>
    <row r="23" spans="1:9" ht="40.799999999999997" x14ac:dyDescent="0.3">
      <c r="A23" s="6" t="s">
        <v>58</v>
      </c>
      <c r="B23" s="6" t="s">
        <v>49</v>
      </c>
      <c r="C23" s="6" t="s">
        <v>18</v>
      </c>
      <c r="D23" s="5" t="s">
        <v>56</v>
      </c>
      <c r="E23" s="6" t="str">
        <f t="shared" si="0"/>
        <v>P</v>
      </c>
      <c r="F23" s="6">
        <v>3</v>
      </c>
      <c r="G23" s="6">
        <v>2</v>
      </c>
      <c r="H23" s="6" t="s">
        <v>54</v>
      </c>
      <c r="I23" s="8" t="s">
        <v>31</v>
      </c>
    </row>
  </sheetData>
  <phoneticPr fontId="5" type="noConversion"/>
  <conditionalFormatting sqref="I3:I23">
    <cfRule type="cellIs" dxfId="5" priority="5" operator="equal">
      <formula>"Não Iniciado"</formula>
    </cfRule>
    <cfRule type="cellIs" dxfId="4" priority="6" operator="equal">
      <formula>"Em Andamento"</formula>
    </cfRule>
    <cfRule type="cellIs" dxfId="3" priority="7" operator="equal">
      <formula>"Concluído"</formula>
    </cfRule>
  </conditionalFormatting>
  <conditionalFormatting sqref="D3:D23">
    <cfRule type="cellIs" dxfId="2" priority="1" operator="equal">
      <formula>"Desejável"</formula>
    </cfRule>
    <cfRule type="cellIs" dxfId="1" priority="2" operator="equal">
      <formula>"Importante"</formula>
    </cfRule>
    <cfRule type="cellIs" dxfId="0" priority="3" operator="equal">
      <formula>"Essencial"</formula>
    </cfRule>
  </conditionalFormatting>
  <dataValidations count="2">
    <dataValidation type="list" allowBlank="1" showInputMessage="1" showErrorMessage="1" sqref="I3:I23" xr:uid="{0E49D406-2AD0-44B6-BC23-A2C9D9055F1B}">
      <formula1>$K$3:$K$5</formula1>
    </dataValidation>
    <dataValidation type="list" allowBlank="1" showInputMessage="1" showErrorMessage="1" sqref="D3:D23" xr:uid="{0DFCFC96-81D2-4D40-862E-043130F3516B}">
      <formula1>$N$1:$N$3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D287A-7C85-42FC-8F91-2E3683E9547D}">
  <dimension ref="B2:F8"/>
  <sheetViews>
    <sheetView workbookViewId="0">
      <selection activeCell="O21" sqref="O21"/>
    </sheetView>
  </sheetViews>
  <sheetFormatPr defaultRowHeight="14.4" x14ac:dyDescent="0.3"/>
  <cols>
    <col min="1" max="1" width="9.6640625" customWidth="1"/>
    <col min="2" max="2" width="11.5546875" bestFit="1" customWidth="1"/>
    <col min="3" max="3" width="13.109375" bestFit="1" customWidth="1"/>
    <col min="4" max="4" width="13.44140625" bestFit="1" customWidth="1"/>
    <col min="5" max="5" width="12.77734375" bestFit="1" customWidth="1"/>
    <col min="6" max="6" width="13.21875" bestFit="1" customWidth="1"/>
  </cols>
  <sheetData>
    <row r="2" spans="2:6" ht="38.4" customHeight="1" x14ac:dyDescent="0.3">
      <c r="B2" s="10" t="s">
        <v>100</v>
      </c>
      <c r="C2" s="9"/>
      <c r="D2" s="9"/>
      <c r="E2" s="9"/>
      <c r="F2" s="9"/>
    </row>
    <row r="3" spans="2:6" ht="34.799999999999997" x14ac:dyDescent="0.3">
      <c r="B3" s="13" t="s">
        <v>21</v>
      </c>
      <c r="C3" s="14" t="s">
        <v>91</v>
      </c>
      <c r="D3" s="15" t="s">
        <v>92</v>
      </c>
      <c r="E3" s="15" t="s">
        <v>93</v>
      </c>
      <c r="F3" s="15" t="s">
        <v>94</v>
      </c>
    </row>
    <row r="4" spans="2:6" ht="17.399999999999999" x14ac:dyDescent="0.3">
      <c r="B4" s="16" t="s">
        <v>95</v>
      </c>
      <c r="C4" s="16">
        <v>130</v>
      </c>
      <c r="D4" s="16">
        <v>130</v>
      </c>
      <c r="E4" s="16">
        <v>130</v>
      </c>
      <c r="F4" s="16">
        <v>0</v>
      </c>
    </row>
    <row r="5" spans="2:6" ht="17.399999999999999" x14ac:dyDescent="0.3">
      <c r="B5" s="16" t="s">
        <v>96</v>
      </c>
      <c r="C5" s="16">
        <v>35</v>
      </c>
      <c r="D5" s="16">
        <v>35</v>
      </c>
      <c r="E5" s="16">
        <v>27</v>
      </c>
      <c r="F5" s="16">
        <f>D5-E5</f>
        <v>8</v>
      </c>
    </row>
    <row r="6" spans="2:6" ht="17.399999999999999" x14ac:dyDescent="0.3">
      <c r="B6" s="16" t="s">
        <v>97</v>
      </c>
      <c r="C6" s="16">
        <v>37</v>
      </c>
      <c r="D6" s="16">
        <f>C6+F5</f>
        <v>45</v>
      </c>
      <c r="E6" s="16">
        <v>31</v>
      </c>
      <c r="F6" s="16">
        <f t="shared" ref="F6:F8" si="0">D6-E6</f>
        <v>14</v>
      </c>
    </row>
    <row r="7" spans="2:6" ht="17.399999999999999" x14ac:dyDescent="0.3">
      <c r="B7" s="16" t="s">
        <v>98</v>
      </c>
      <c r="C7" s="16">
        <v>39</v>
      </c>
      <c r="D7" s="16">
        <f>C7+F6</f>
        <v>53</v>
      </c>
      <c r="E7" s="16">
        <v>44</v>
      </c>
      <c r="F7" s="16">
        <f t="shared" si="0"/>
        <v>9</v>
      </c>
    </row>
    <row r="8" spans="2:6" ht="17.399999999999999" x14ac:dyDescent="0.3">
      <c r="B8" s="16" t="s">
        <v>99</v>
      </c>
      <c r="C8" s="16">
        <v>19</v>
      </c>
      <c r="D8" s="16">
        <f>C8+F7</f>
        <v>28</v>
      </c>
      <c r="E8" s="16">
        <v>28</v>
      </c>
      <c r="F8" s="16">
        <f t="shared" si="0"/>
        <v>0</v>
      </c>
    </row>
  </sheetData>
  <phoneticPr fontId="5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BackLog</vt:lpstr>
      <vt:lpstr>BurnDown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GUILHERME FROSSI TEODORO .</dc:creator>
  <cp:lastModifiedBy>LUCAS GUILHERME FROSSI TEODORO .</cp:lastModifiedBy>
  <dcterms:created xsi:type="dcterms:W3CDTF">2025-11-19T03:35:13Z</dcterms:created>
  <dcterms:modified xsi:type="dcterms:W3CDTF">2025-12-06T19:42:17Z</dcterms:modified>
</cp:coreProperties>
</file>